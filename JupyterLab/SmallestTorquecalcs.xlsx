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juarezluna/Library/CloudStorage/OneDrive-CreightonUniversity/MSc Physics/001-MRI Safety Thesis/JupyterLab/"/>
    </mc:Choice>
  </mc:AlternateContent>
  <xr:revisionPtr revIDLastSave="0" documentId="8_{020AA7A3-DEBA-2B4E-BA82-6A46813FEBC7}" xr6:coauthVersionLast="47" xr6:coauthVersionMax="47" xr10:uidLastSave="{00000000-0000-0000-0000-000000000000}"/>
  <bookViews>
    <workbookView xWindow="680" yWindow="1320" windowWidth="28040" windowHeight="17160" xr2:uid="{F9CC66E6-36C2-6647-B735-2F53FB3D9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J8" i="1"/>
  <c r="J7" i="1"/>
  <c r="L7" i="1" s="1"/>
  <c r="B23" i="1"/>
  <c r="B22" i="1"/>
  <c r="B17" i="1"/>
  <c r="B16" i="1"/>
  <c r="D13" i="1"/>
  <c r="B13" i="1"/>
  <c r="B24" i="1"/>
  <c r="D15" i="1"/>
  <c r="L13" i="1"/>
  <c r="D14" i="1"/>
  <c r="J6" i="1"/>
  <c r="D6" i="1"/>
  <c r="F7" i="1"/>
  <c r="D7" i="1"/>
  <c r="D8" i="1"/>
  <c r="B5" i="1"/>
  <c r="H13" i="1" l="1"/>
  <c r="H15" i="1" s="1"/>
  <c r="L14" i="1"/>
  <c r="B14" i="1"/>
  <c r="H14" i="1" l="1"/>
</calcChain>
</file>

<file path=xl/sharedStrings.xml><?xml version="1.0" encoding="utf-8"?>
<sst xmlns="http://schemas.openxmlformats.org/spreadsheetml/2006/main" count="48" uniqueCount="34">
  <si>
    <t>Fmin</t>
  </si>
  <si>
    <t>pi * E * dcubed</t>
  </si>
  <si>
    <t>32 L</t>
  </si>
  <si>
    <t>2 Vnoise</t>
  </si>
  <si>
    <t>E</t>
  </si>
  <si>
    <t>L</t>
  </si>
  <si>
    <t>Vnoise</t>
  </si>
  <si>
    <t>Vexc</t>
  </si>
  <si>
    <t>GF</t>
  </si>
  <si>
    <t>V</t>
  </si>
  <si>
    <t>mm</t>
  </si>
  <si>
    <t>m</t>
  </si>
  <si>
    <t>Gpa</t>
  </si>
  <si>
    <t>Pi</t>
  </si>
  <si>
    <t>N</t>
  </si>
  <si>
    <t>Chiu</t>
  </si>
  <si>
    <t>inch</t>
  </si>
  <si>
    <t>same</t>
  </si>
  <si>
    <t>mN</t>
  </si>
  <si>
    <t>muN</t>
  </si>
  <si>
    <t>Noise floor (epsilon)</t>
  </si>
  <si>
    <t>dcubed/L</t>
  </si>
  <si>
    <t>Mine</t>
  </si>
  <si>
    <t>Pa</t>
  </si>
  <si>
    <t xml:space="preserve">gain </t>
  </si>
  <si>
    <t>Vexc * GF *gain</t>
  </si>
  <si>
    <t>rsensor</t>
  </si>
  <si>
    <t>torque min</t>
  </si>
  <si>
    <t>Nm</t>
  </si>
  <si>
    <t>mN m</t>
  </si>
  <si>
    <t>with the GAIN</t>
  </si>
  <si>
    <t>muN m</t>
  </si>
  <si>
    <t>d</t>
  </si>
  <si>
    <t>inch to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</si>
</sst>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7" formatCode="0.000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8" fontId="0" fillId="0" borderId="0" xfId="0" applyNumberFormat="1"/>
    <xf numFmtId="11" fontId="0" fillId="0" borderId="0" xfId="0" applyNumberFormat="1"/>
    <xf numFmtId="0" fontId="1" fillId="0" borderId="0" xfId="0" applyFont="1"/>
    <xf numFmtId="17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58D1-69D7-1A47-9B62-3E0921A55DB4}">
  <dimension ref="A1:L24"/>
  <sheetViews>
    <sheetView tabSelected="1" workbookViewId="0">
      <selection activeCell="H17" sqref="H17"/>
    </sheetView>
  </sheetViews>
  <sheetFormatPr baseColWidth="10" defaultRowHeight="16" x14ac:dyDescent="0.2"/>
  <cols>
    <col min="2" max="2" width="15.6640625" bestFit="1" customWidth="1"/>
    <col min="4" max="4" width="12.1640625" bestFit="1" customWidth="1"/>
    <col min="8" max="8" width="12.1640625" bestFit="1" customWidth="1"/>
    <col min="10" max="10" width="12.1640625" bestFit="1" customWidth="1"/>
  </cols>
  <sheetData>
    <row r="1" spans="1:12" x14ac:dyDescent="0.2">
      <c r="A1" t="s">
        <v>22</v>
      </c>
      <c r="D1" t="s">
        <v>0</v>
      </c>
      <c r="E1" t="s">
        <v>1</v>
      </c>
      <c r="F1" t="s">
        <v>3</v>
      </c>
      <c r="H1" t="s">
        <v>15</v>
      </c>
      <c r="J1" t="s">
        <v>33</v>
      </c>
    </row>
    <row r="2" spans="1:12" x14ac:dyDescent="0.2">
      <c r="E2" t="s">
        <v>2</v>
      </c>
      <c r="F2" t="s">
        <v>25</v>
      </c>
      <c r="J2">
        <v>2.5399999999999999E-2</v>
      </c>
    </row>
    <row r="4" spans="1:12" x14ac:dyDescent="0.2">
      <c r="A4" t="s">
        <v>24</v>
      </c>
      <c r="B4">
        <v>160</v>
      </c>
      <c r="H4" t="s">
        <v>24</v>
      </c>
      <c r="I4">
        <v>100</v>
      </c>
    </row>
    <row r="5" spans="1:12" x14ac:dyDescent="0.2">
      <c r="A5" t="s">
        <v>13</v>
      </c>
      <c r="B5">
        <f>PI()</f>
        <v>3.1415926535897931</v>
      </c>
    </row>
    <row r="6" spans="1:12" x14ac:dyDescent="0.2">
      <c r="A6" t="s">
        <v>4</v>
      </c>
      <c r="B6">
        <v>68</v>
      </c>
      <c r="C6" t="s">
        <v>12</v>
      </c>
      <c r="D6">
        <f>B6*1000000000</f>
        <v>68000000000</v>
      </c>
      <c r="E6" t="s">
        <v>23</v>
      </c>
      <c r="H6">
        <v>66.2</v>
      </c>
      <c r="I6" t="s">
        <v>12</v>
      </c>
      <c r="J6">
        <f>H6*1000000000</f>
        <v>66200000000</v>
      </c>
      <c r="K6" t="s">
        <v>23</v>
      </c>
    </row>
    <row r="7" spans="1:12" x14ac:dyDescent="0.2">
      <c r="A7" t="s">
        <v>32</v>
      </c>
      <c r="B7">
        <v>1.6</v>
      </c>
      <c r="C7" t="s">
        <v>10</v>
      </c>
      <c r="D7">
        <f>B7/1000</f>
        <v>1.6000000000000001E-3</v>
      </c>
      <c r="E7" t="s">
        <v>11</v>
      </c>
      <c r="F7">
        <f>POWER(D7,3)</f>
        <v>4.0959999999999999E-9</v>
      </c>
      <c r="H7" s="4">
        <v>2.5999999999999999E-2</v>
      </c>
      <c r="I7" t="s">
        <v>16</v>
      </c>
      <c r="J7" s="6">
        <f>H7*J2</f>
        <v>6.603999999999999E-4</v>
      </c>
      <c r="K7" t="s">
        <v>11</v>
      </c>
      <c r="L7">
        <f>POWER(J7,3)</f>
        <v>2.8801903686399986E-10</v>
      </c>
    </row>
    <row r="8" spans="1:12" x14ac:dyDescent="0.2">
      <c r="A8" t="s">
        <v>5</v>
      </c>
      <c r="B8">
        <v>182</v>
      </c>
      <c r="C8" t="s">
        <v>10</v>
      </c>
      <c r="D8">
        <f>B8/1000</f>
        <v>0.182</v>
      </c>
      <c r="E8" t="s">
        <v>11</v>
      </c>
      <c r="H8" s="4">
        <v>2.75</v>
      </c>
      <c r="J8" s="6">
        <f>H8*J2</f>
        <v>6.9849999999999995E-2</v>
      </c>
      <c r="K8" t="s">
        <v>11</v>
      </c>
    </row>
    <row r="9" spans="1:12" x14ac:dyDescent="0.2">
      <c r="A9" t="s">
        <v>6</v>
      </c>
      <c r="B9">
        <v>5.0000000000000001E-4</v>
      </c>
      <c r="C9" t="s">
        <v>9</v>
      </c>
      <c r="H9">
        <v>3.0000000000000001E-3</v>
      </c>
    </row>
    <row r="10" spans="1:12" x14ac:dyDescent="0.2">
      <c r="A10" t="s">
        <v>7</v>
      </c>
      <c r="B10">
        <v>5</v>
      </c>
      <c r="C10" t="s">
        <v>9</v>
      </c>
      <c r="H10" t="s">
        <v>17</v>
      </c>
    </row>
    <row r="11" spans="1:12" x14ac:dyDescent="0.2">
      <c r="A11" t="s">
        <v>8</v>
      </c>
      <c r="B11">
        <v>2</v>
      </c>
      <c r="H11" t="s">
        <v>17</v>
      </c>
    </row>
    <row r="12" spans="1:12" x14ac:dyDescent="0.2">
      <c r="D12" t="s">
        <v>30</v>
      </c>
    </row>
    <row r="13" spans="1:12" x14ac:dyDescent="0.2">
      <c r="A13" t="s">
        <v>0</v>
      </c>
      <c r="B13" s="3">
        <f>(($B$5*D6*F7)/(32*D8))*((2*$B$9)/($B$10*$B$11))</f>
        <v>1.5024407943321735E-2</v>
      </c>
      <c r="C13" t="s">
        <v>14</v>
      </c>
      <c r="D13" s="3">
        <f>B13/B4</f>
        <v>9.3902549645760841E-5</v>
      </c>
      <c r="H13" s="3">
        <f>($B$5*J6*L7)/(32*J8)*(2*$H$9)/($B$10*$B$11*I4)</f>
        <v>1.6079180760089626E-4</v>
      </c>
      <c r="I13" t="s">
        <v>14</v>
      </c>
      <c r="L13">
        <f>(2*H9)/(B10*B11*I4)</f>
        <v>6.0000000000000002E-6</v>
      </c>
    </row>
    <row r="14" spans="1:12" x14ac:dyDescent="0.2">
      <c r="B14" s="5">
        <f>B13*1000</f>
        <v>15.024407943321735</v>
      </c>
      <c r="C14" t="s">
        <v>18</v>
      </c>
      <c r="D14" s="5">
        <f>D13*1000</f>
        <v>9.3902549645760836E-2</v>
      </c>
      <c r="H14" s="2">
        <f>H13*1000</f>
        <v>0.16079180760089626</v>
      </c>
      <c r="I14" t="s">
        <v>18</v>
      </c>
      <c r="L14">
        <f>(B5*J6*L7)/(32*J8)*L13</f>
        <v>1.6079180760089626E-4</v>
      </c>
    </row>
    <row r="15" spans="1:12" x14ac:dyDescent="0.2">
      <c r="D15" s="1">
        <f>D13*1000000</f>
        <v>93.902549645760843</v>
      </c>
      <c r="E15" t="s">
        <v>19</v>
      </c>
      <c r="H15" s="1">
        <f>H13*1000000</f>
        <v>160.79180760089625</v>
      </c>
      <c r="I15" t="s">
        <v>19</v>
      </c>
    </row>
    <row r="16" spans="1:12" x14ac:dyDescent="0.2">
      <c r="A16" t="s">
        <v>20</v>
      </c>
      <c r="B16">
        <f>(2*B9)/(B10*B11)</f>
        <v>1E-4</v>
      </c>
    </row>
    <row r="17" spans="1:8" x14ac:dyDescent="0.2">
      <c r="A17" t="s">
        <v>21</v>
      </c>
      <c r="B17">
        <f>F7/D8</f>
        <v>2.2505494505494507E-8</v>
      </c>
      <c r="H17" s="3">
        <f>J8/L7</f>
        <v>242518691.68280905</v>
      </c>
    </row>
    <row r="20" spans="1:8" x14ac:dyDescent="0.2">
      <c r="A20" t="s">
        <v>26</v>
      </c>
      <c r="B20">
        <v>0.05</v>
      </c>
      <c r="C20" t="s">
        <v>11</v>
      </c>
    </row>
    <row r="22" spans="1:8" x14ac:dyDescent="0.2">
      <c r="A22" t="s">
        <v>27</v>
      </c>
      <c r="B22" s="3">
        <f>B20*D13</f>
        <v>4.6951274822880426E-6</v>
      </c>
      <c r="C22" t="s">
        <v>28</v>
      </c>
    </row>
    <row r="23" spans="1:8" x14ac:dyDescent="0.2">
      <c r="B23" s="5">
        <f>B22*1000</f>
        <v>4.6951274822880423E-3</v>
      </c>
      <c r="C23" t="s">
        <v>29</v>
      </c>
    </row>
    <row r="24" spans="1:8" x14ac:dyDescent="0.2">
      <c r="B24" s="1">
        <f>B22*1000000</f>
        <v>4.6951274822880427</v>
      </c>
      <c r="C2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Juárez</dc:creator>
  <cp:lastModifiedBy>Daniel Juárez</cp:lastModifiedBy>
  <dcterms:created xsi:type="dcterms:W3CDTF">2026-04-14T04:28:34Z</dcterms:created>
  <dcterms:modified xsi:type="dcterms:W3CDTF">2026-04-14T23:38:01Z</dcterms:modified>
</cp:coreProperties>
</file>